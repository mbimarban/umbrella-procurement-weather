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ma\OneDrive - POLYSTYLEX SIA\Documents\GITHUB\Umbrella_Company_Procurement_Model_Weather\"/>
    </mc:Choice>
  </mc:AlternateContent>
  <xr:revisionPtr revIDLastSave="0" documentId="8_{F61EDF69-7BAB-42B4-94E1-86F5150B88F8}" xr6:coauthVersionLast="47" xr6:coauthVersionMax="47" xr10:uidLastSave="{00000000-0000-0000-0000-000000000000}"/>
  <bookViews>
    <workbookView xWindow="-108" yWindow="-108" windowWidth="23256" windowHeight="12456" xr2:uid="{A3B5F8BD-6BB2-4B3A-9E69-B99EA359B796}"/>
  </bookViews>
  <sheets>
    <sheet name="Procurement_Plan" sheetId="6" r:id="rId1"/>
    <sheet name="Regression_Output" sheetId="4" r:id="rId2"/>
    <sheet name="Data" sheetId="1" r:id="rId3"/>
    <sheet name="Procurement_Plan_Weather" sheetId="2" r:id="rId4"/>
    <sheet name="Regression_Output_Weather" sheetId="5" r:id="rId5"/>
  </sheets>
  <definedNames>
    <definedName name="b_Rainfall">Procurement_Plan_Weather!$I$7</definedName>
    <definedName name="b_Temperature">Procurement_Plan_Weather!$I$8</definedName>
    <definedName name="b_Wind">Procurement_Plan_Weather!$I$9</definedName>
    <definedName name="Demand_Forecast_Jan25">Procurement_Plan!$L$4</definedName>
    <definedName name="Demand_Forecast_Jan25W">Procurement_Plan_Weather!$I$17</definedName>
    <definedName name="DLT_Jan25">Procurement_Plan!$L$5</definedName>
    <definedName name="DLT_Jan25W">Procurement_Plan_Weather!$L$6</definedName>
    <definedName name="Forecast_Rain_mm_Jan25">Procurement_Plan!$L$3</definedName>
    <definedName name="Forecast_Rain_mm_Jan252">Procurement_Plan_Weather!$I$13</definedName>
    <definedName name="Forecast_Temp_C_Jan25">Procurement_Plan_Weather!$I$14</definedName>
    <definedName name="Forecast_Wind_kmh_Jan25">Procurement_Plan_Weather!$I$15</definedName>
    <definedName name="Intercept">Procurement_Plan!$I$3</definedName>
    <definedName name="Intercept2">Procurement_Plan_Weather!$I$6</definedName>
    <definedName name="InterceptW">Procurement_Plan_Weather!$I$6</definedName>
    <definedName name="InventoryPosition">Procurement_Plan!$L$10</definedName>
    <definedName name="InventoryPositionW">Procurement_Plan_Weather!$L$12</definedName>
    <definedName name="LeadTime_days">Procurement_Plan!$I$14</definedName>
    <definedName name="LeadTime_months">Procurement_Plan!$I$15</definedName>
    <definedName name="MOQ">Procurement_Plan!$L$13</definedName>
    <definedName name="MOQW">Procurement_Plan_Weather!$L$11</definedName>
    <definedName name="OnOrder">Procurement_Plan!$L$9</definedName>
    <definedName name="OnOrderW">Procurement_Plan_Weather!$L$10</definedName>
    <definedName name="Order_Q_Jan25">Procurement_Plan!$L$11</definedName>
    <definedName name="Order_Q_Jan25W">Procurement_Plan_Weather!$L$13</definedName>
    <definedName name="Order_Q_MOQ_Jan25">Procurement_Plan!$L$14</definedName>
    <definedName name="Order_Q_MOQ_Jan25W">Procurement_Plan_Weather!$L$14</definedName>
    <definedName name="Reorder_FlagW">Procurement_Plan_Weather!$L$15</definedName>
    <definedName name="ROP_Jan25">Procurement_Plan!$L$6</definedName>
    <definedName name="ROP_Jan25W">Procurement_Plan_Weather!$L$7</definedName>
    <definedName name="SafetyStock">Procurement_Plan!$I$18</definedName>
    <definedName name="SafetyStock_Jan25">Procurement_Plan_Weather!$I$19</definedName>
    <definedName name="SafetyStock_Jan25W">Procurement_Plan_Weather!$I$19</definedName>
    <definedName name="ServiceLevel">Procurement_Plan!$I$13</definedName>
    <definedName name="Sigma_LT">Procurement_Plan!$I$17</definedName>
    <definedName name="Sigma_Residual">Procurement_Plan!$I$11</definedName>
    <definedName name="Sigma_ResidualW">Procurement_Plan_Weather!$I$10</definedName>
    <definedName name="Slope_Rainfall">Procurement_Plan!$I$4</definedName>
    <definedName name="StdError">Procurement_Plan!$I$5</definedName>
    <definedName name="StockOnHand">Procurement_Plan!$L$8</definedName>
    <definedName name="StockOnHandW">Procurement_Plan_Weather!$L$9</definedName>
    <definedName name="z">Procurement_Plan!$I$16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4" i="2" a="1"/>
  <c r="L14" i="2" s="1"/>
  <c r="L13" i="2"/>
  <c r="L12" i="2"/>
  <c r="L7" i="2"/>
  <c r="I17" i="2"/>
  <c r="L6" i="2" s="1"/>
  <c r="I19" i="2"/>
  <c r="L10" i="6"/>
  <c r="L4" i="6"/>
  <c r="L5" i="6" s="1" a="1"/>
  <c r="L5" i="6" s="1"/>
  <c r="I16" i="6"/>
  <c r="I15" i="6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B4" i="6"/>
  <c r="B5" i="6"/>
  <c r="B6" i="6" s="1"/>
  <c r="B7" i="6" s="1"/>
  <c r="B8" i="6" s="1"/>
  <c r="B9" i="6" s="1"/>
  <c r="I11" i="6" l="1"/>
  <c r="I17" i="6" s="1" a="1"/>
  <c r="I17" i="6" s="1"/>
  <c r="I18" i="6" s="1" a="1"/>
  <c r="I18" i="6" s="1"/>
  <c r="L6" i="6" s="1" a="1"/>
  <c r="L6" i="6" s="1"/>
  <c r="I10" i="6"/>
  <c r="L11" i="6" l="1" a="1"/>
  <c r="L11" i="6" s="1"/>
  <c r="L14" i="6" s="1"/>
  <c r="L12" i="6"/>
  <c r="B6" i="2" l="1"/>
  <c r="B7" i="2" s="1"/>
  <c r="B8" i="2" s="1"/>
  <c r="B9" i="2" s="1"/>
  <c r="B10" i="2" s="1"/>
  <c r="B11" i="2" s="1"/>
  <c r="B6" i="1"/>
  <c r="B7" i="1" s="1"/>
  <c r="B8" i="1" s="1"/>
  <c r="B9" i="1" s="1"/>
  <c r="B10" i="1" s="1"/>
  <c r="B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<sst xmlns="http://schemas.openxmlformats.org/spreadsheetml/2006/main" count="120" uniqueCount="77">
  <si>
    <t>The Umbrella Company</t>
  </si>
  <si>
    <t>Month</t>
  </si>
  <si>
    <t>Rainfall (mm)</t>
  </si>
  <si>
    <t>Quantity Sold</t>
  </si>
  <si>
    <t>Rainfall
(mm)</t>
  </si>
  <si>
    <t>Temperature
(°C)</t>
  </si>
  <si>
    <t>Wind Speed
(km/h)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</si>
  <si>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</si>
  <si>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</si>
  <si>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</si>
  <si>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</si>
  <si>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</si>
  <si>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</si>
  <si>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</si>
  <si>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</si>
  <si>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</si>
  <si>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</si>
  <si>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</si>
  <si>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</si>
  <si>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</si>
  <si>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</si>
  <si>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</si>
  <si>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</si>
  <si>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</si>
  <si>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</si>
  <si>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</si>
  <si>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</si>
  <si>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</si>
  <si>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</si>
  <si>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</si>
  <si>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</si>
  <si>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Slope Rainfall</t>
  </si>
  <si>
    <t>StdError_Model</t>
  </si>
  <si>
    <t>Slope_Low95</t>
  </si>
  <si>
    <t>Slope_High95</t>
  </si>
  <si>
    <t>StdError</t>
  </si>
  <si>
    <t>Predicted</t>
  </si>
  <si>
    <t>Bias</t>
  </si>
  <si>
    <t>Sigma_Residual</t>
  </si>
  <si>
    <t>ServiceLevel</t>
  </si>
  <si>
    <t>LeadTime_days</t>
  </si>
  <si>
    <t>LeadTime_months</t>
  </si>
  <si>
    <t>z</t>
  </si>
  <si>
    <t>Sigma_LT</t>
  </si>
  <si>
    <t>SafetyStock</t>
  </si>
  <si>
    <t>Forecast_Rain_mm_Jan25</t>
  </si>
  <si>
    <t>Demand_Forecast_Jan25</t>
  </si>
  <si>
    <t>DLT_Jan25</t>
  </si>
  <si>
    <t>ROP_Jan25</t>
  </si>
  <si>
    <t>StockOnHand</t>
  </si>
  <si>
    <t>OnOrder</t>
  </si>
  <si>
    <t>InventoryPosition</t>
  </si>
  <si>
    <t>Order_Q_Jan25</t>
  </si>
  <si>
    <t>MOQ</t>
  </si>
  <si>
    <t>Order_Q_MOQ_Jan25</t>
  </si>
  <si>
    <t>MODEL (do not edit)</t>
  </si>
  <si>
    <t>INPUTS (change)</t>
  </si>
  <si>
    <t>OUTPUT / DECISION (Jan25)</t>
  </si>
  <si>
    <t>Reorder_Flag</t>
  </si>
  <si>
    <t>b_Rainfall</t>
  </si>
  <si>
    <t>b_Temperature</t>
  </si>
  <si>
    <t>b_Wind</t>
  </si>
  <si>
    <t>Forecast_Temp_C_Jan25</t>
  </si>
  <si>
    <t>Forecast_Wind_kmh_Jan25</t>
  </si>
  <si>
    <t>DLT_Jan25W</t>
  </si>
  <si>
    <t>Intercept2</t>
  </si>
  <si>
    <t>ROP_Jan25W</t>
  </si>
  <si>
    <t>SafetyStock_Jan25W</t>
  </si>
  <si>
    <t>StockOnHandW</t>
  </si>
  <si>
    <t>OnOrderW</t>
  </si>
  <si>
    <t>MOQW</t>
  </si>
  <si>
    <t>InventoryPositionW</t>
  </si>
  <si>
    <t>Order_Q_Jan25W</t>
  </si>
  <si>
    <t>Order_Q_MOQ_Jan25W</t>
  </si>
  <si>
    <t>Reorder_FlagW</t>
  </si>
  <si>
    <t>INPUTS (Jan25W)</t>
  </si>
  <si>
    <t>OUTPUT / DECISION (Jan25W)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</si>
</sst>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74" formatCode="0.000"/>
    <numFmt numFmtId="175" formatCode="0.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16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17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3" borderId="4" xfId="0" applyNumberFormat="1" applyFont="1" applyFill="1" applyBorder="1" applyAlignment="1">
      <alignment horizontal="center"/>
    </xf>
    <xf numFmtId="17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3" borderId="10" xfId="0" applyNumberFormat="1" applyFill="1" applyBorder="1" applyAlignment="1">
      <alignment horizontal="center"/>
    </xf>
    <xf numFmtId="3" fontId="0" fillId="3" borderId="1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9" fillId="0" borderId="13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0" fillId="0" borderId="12" xfId="0" applyFill="1" applyBorder="1" applyAlignment="1">
      <alignment wrapText="1"/>
    </xf>
    <xf numFmtId="164" fontId="2" fillId="2" borderId="3" xfId="0" applyNumberFormat="1" applyFont="1" applyFill="1" applyBorder="1" applyAlignment="1">
      <alignment horizontal="center"/>
    </xf>
    <xf numFmtId="17" fontId="0" fillId="3" borderId="6" xfId="0" applyNumberFormat="1" applyFill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3" borderId="3" xfId="0" applyNumberFormat="1" applyFill="1" applyBorder="1" applyAlignment="1">
      <alignment horizontal="center"/>
    </xf>
    <xf numFmtId="17" fontId="0" fillId="3" borderId="9" xfId="0" applyNumberFormat="1" applyFill="1" applyBorder="1" applyAlignment="1">
      <alignment horizontal="center"/>
    </xf>
    <xf numFmtId="3" fontId="0" fillId="0" borderId="0" xfId="0" applyNumberFormat="1"/>
    <xf numFmtId="174" fontId="0" fillId="0" borderId="0" xfId="0" applyNumberFormat="1"/>
    <xf numFmtId="2" fontId="0" fillId="0" borderId="0" xfId="0" applyNumberFormat="1"/>
    <xf numFmtId="175" fontId="0" fillId="0" borderId="0" xfId="0" applyNumberFormat="1"/>
    <xf numFmtId="1" fontId="0" fillId="0" borderId="0" xfId="0" applyNumberFormat="1"/>
    <xf numFmtId="1" fontId="0" fillId="0" borderId="0" xfId="0" applyNumberFormat="1" applyFill="1" applyBorder="1" applyAlignme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5" borderId="0" xfId="0" applyFill="1"/>
    <xf numFmtId="0" fontId="8" fillId="5" borderId="0" xfId="0" applyFont="1" applyFill="1"/>
    <xf numFmtId="1" fontId="8" fillId="5" borderId="0" xfId="0" applyNumberFormat="1" applyFont="1" applyFill="1"/>
    <xf numFmtId="0" fontId="8" fillId="7" borderId="0" xfId="0" applyFont="1" applyFill="1"/>
    <xf numFmtId="0" fontId="7" fillId="0" borderId="0" xfId="0" applyFont="1" applyAlignment="1">
      <alignment horizontal="center"/>
    </xf>
    <xf numFmtId="0" fontId="0" fillId="7" borderId="0" xfId="0" applyFill="1" applyBorder="1" applyAlignment="1"/>
    <xf numFmtId="0" fontId="0" fillId="5" borderId="0" xfId="0" applyFill="1" applyBorder="1" applyAlignment="1"/>
    <xf numFmtId="0" fontId="0" fillId="8" borderId="12" xfId="0" applyFill="1" applyBorder="1" applyAlignment="1"/>
    <xf numFmtId="0" fontId="0" fillId="9" borderId="12" xfId="0" applyFill="1" applyBorder="1" applyAlignment="1"/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/>
    </xf>
    <xf numFmtId="0" fontId="8" fillId="12" borderId="0" xfId="0" applyFont="1" applyFill="1" applyBorder="1" applyAlignment="1"/>
    <xf numFmtId="0" fontId="10" fillId="10" borderId="13" xfId="0" applyFont="1" applyFill="1" applyBorder="1" applyAlignment="1">
      <alignment horizontal="center"/>
    </xf>
    <xf numFmtId="0" fontId="8" fillId="10" borderId="0" xfId="0" applyFont="1" applyFill="1" applyBorder="1" applyAlignment="1"/>
  </cellXfs>
  <cellStyles count="3">
    <cellStyle name="Hyperlink 2" xfId="2" xr:uid="{296345A2-8E88-FB4E-A10D-7BEE29F71ABC}"/>
    <cellStyle name="Normal" xfId="0" builtinId="0"/>
    <cellStyle name="Normal 2" xfId="1" xr:uid="{412DEB1E-AE97-EA4B-A0EA-F4CDCA6C701B}"/>
  </cellStyles>
  <dxfs count="19"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/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numFmt numFmtId="3" formatCode="#,##0"/>
    </dxf>
    <dxf>
      <numFmt numFmtId="3" formatCode="#,##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/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Data!$D$4</c:f>
              <c:strCache>
                <c:ptCount val="1"/>
                <c:pt idx="0">
                  <c:v>Quantity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29058605436559"/>
                  <c:y val="-6.3434735836563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Data!$C$5:$C$23</c:f>
              <c:numCache>
                <c:formatCode>General</c:formatCode>
                <c:ptCount val="19"/>
                <c:pt idx="0">
                  <c:v>58</c:v>
                </c:pt>
                <c:pt idx="1">
                  <c:v>49</c:v>
                </c:pt>
                <c:pt idx="2">
                  <c:v>62</c:v>
                </c:pt>
                <c:pt idx="3">
                  <c:v>100</c:v>
                </c:pt>
                <c:pt idx="4">
                  <c:v>110</c:v>
                </c:pt>
                <c:pt idx="5">
                  <c:v>102</c:v>
                </c:pt>
                <c:pt idx="6">
                  <c:v>84</c:v>
                </c:pt>
                <c:pt idx="7">
                  <c:v>79</c:v>
                </c:pt>
                <c:pt idx="8">
                  <c:v>76</c:v>
                </c:pt>
                <c:pt idx="9">
                  <c:v>80</c:v>
                </c:pt>
                <c:pt idx="10">
                  <c:v>87</c:v>
                </c:pt>
                <c:pt idx="11">
                  <c:v>60</c:v>
                </c:pt>
                <c:pt idx="12">
                  <c:v>54</c:v>
                </c:pt>
                <c:pt idx="13">
                  <c:v>42</c:v>
                </c:pt>
                <c:pt idx="14">
                  <c:v>48</c:v>
                </c:pt>
                <c:pt idx="15">
                  <c:v>88</c:v>
                </c:pt>
                <c:pt idx="16">
                  <c:v>107</c:v>
                </c:pt>
                <c:pt idx="17">
                  <c:v>118</c:v>
                </c:pt>
                <c:pt idx="18">
                  <c:v>91</c:v>
                </c:pt>
              </c:numCache>
            </c:numRef>
          </c:xVal>
          <c:yVal>
            <c:numRef>
              <c:f>Data!$D$5:$D$23</c:f>
              <c:numCache>
                <c:formatCode>#,##0</c:formatCode>
                <c:ptCount val="19"/>
                <c:pt idx="0">
                  <c:v>1861</c:v>
                </c:pt>
                <c:pt idx="1">
                  <c:v>1745</c:v>
                </c:pt>
                <c:pt idx="2">
                  <c:v>1977</c:v>
                </c:pt>
                <c:pt idx="3">
                  <c:v>3908</c:v>
                </c:pt>
                <c:pt idx="4">
                  <c:v>5325</c:v>
                </c:pt>
                <c:pt idx="5">
                  <c:v>4098</c:v>
                </c:pt>
                <c:pt idx="6">
                  <c:v>2968</c:v>
                </c:pt>
                <c:pt idx="7">
                  <c:v>2771</c:v>
                </c:pt>
                <c:pt idx="8">
                  <c:v>2097</c:v>
                </c:pt>
                <c:pt idx="9">
                  <c:v>2254</c:v>
                </c:pt>
                <c:pt idx="10">
                  <c:v>2978</c:v>
                </c:pt>
                <c:pt idx="11">
                  <c:v>2514</c:v>
                </c:pt>
                <c:pt idx="12">
                  <c:v>2205</c:v>
                </c:pt>
                <c:pt idx="13">
                  <c:v>1979</c:v>
                </c:pt>
                <c:pt idx="14">
                  <c:v>2358</c:v>
                </c:pt>
                <c:pt idx="15">
                  <c:v>3490</c:v>
                </c:pt>
                <c:pt idx="16">
                  <c:v>4920</c:v>
                </c:pt>
                <c:pt idx="17">
                  <c:v>5555</c:v>
                </c:pt>
                <c:pt idx="18">
                  <c:v>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5-49E2-AC5D-28F75EF1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462288"/>
        <c:axId val="739447888"/>
      </c:scatterChart>
      <c:valAx>
        <c:axId val="73946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447888"/>
        <c:crosses val="autoZero"/>
        <c:crossBetween val="midCat"/>
      </c:valAx>
      <c:valAx>
        <c:axId val="7394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46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2931</xdr:colOff>
      <xdr:row>3</xdr:row>
      <xdr:rowOff>5861</xdr:rowOff>
    </xdr:from>
    <xdr:to>
      <xdr:col>14</xdr:col>
      <xdr:colOff>17585</xdr:colOff>
      <xdr:row>22</xdr:row>
      <xdr:rowOff>5861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742F4-EEEF-3E2F-49C6-DAF4ACC17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4216F-A9FE-4651-9F10-45A53A62F9F9}" name="Table1" displayName="Table1" ref="B2:F21" totalsRowShown="0" tableBorderDxfId="18">
  <autoFilter ref="B2:F21" xr:uid="{88C4216F-A9FE-4651-9F10-45A53A62F9F9}"/>
  <tableColumns count="5">
    <tableColumn id="1" xr3:uid="{320F91B8-D618-4BEC-BC8C-38C8AFE4D258}" name="Month" dataDxfId="17"/>
    <tableColumn id="2" xr3:uid="{A7D08332-B360-4F62-9AAB-CE59D67C8EDA}" name="Rainfall (mm)" dataDxfId="16"/>
    <tableColumn id="3" xr3:uid="{7647ABBC-6FE9-4890-9785-981BD3D786F3}" name="Quantity Sold"/>
    <tableColumn id="4" xr3:uid="{1C4632DB-18CC-4FF7-BCF9-381DA2FB73A8}" name="Predicted" dataDxfId="15">
      <calculatedColumnFormula>Intercept+Slope_Rainfall*Table1[[#This Row],[Rainfall (mm)]]</calculatedColumnFormula>
    </tableColumn>
    <tableColumn id="5" xr3:uid="{318324E2-20C3-4776-9029-267332116DC0}" name="Residual" dataDxfId="14">
      <calculatedColumnFormula>Table1[[#This Row],[Quantity Sold]]-Table1[[#This Row],[Predicted]]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8BAE7-5F17-41A3-9022-76528DDB7AAA}" name="Table2" displayName="Table2" ref="B4:F23" totalsRowShown="0" headerRowDxfId="5" dataDxfId="11" tableBorderDxfId="10">
  <autoFilter ref="B4:F23" xr:uid="{4588BAE7-5F17-41A3-9022-76528DDB7AAA}"/>
  <tableColumns count="5">
    <tableColumn id="1" xr3:uid="{FACAD7ED-246A-4E9B-951B-27FD9E94C187}" name="Month" dataDxfId="9"/>
    <tableColumn id="2" xr3:uid="{39FE5D80-8BAE-4F6D-B389-CD7E65C04BEB}" name="Rainfall_x000a_(mm)" dataDxfId="8"/>
    <tableColumn id="3" xr3:uid="{954D56E0-EDE9-4E99-933B-985C8E4EF2FC}" name="Temperature_x000a_(°C)" dataDxfId="12"/>
    <tableColumn id="4" xr3:uid="{3057C32A-C8D8-44C3-8D8F-AC322A3B5CC2}" name="Wind Speed_x000a_(km/h)" dataDxfId="7"/>
    <tableColumn id="5" xr3:uid="{C0EE8B43-0426-4946-B288-C2EB1B69B20E}" name="Quantity Sol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FDD-5BFF-4BFA-955E-819970A6DAF5}">
  <dimension ref="B2:L21"/>
  <sheetViews>
    <sheetView tabSelected="1" workbookViewId="0">
      <selection activeCell="D26" sqref="D26"/>
    </sheetView>
  </sheetViews>
  <sheetFormatPr defaultRowHeight="14.4" x14ac:dyDescent="0.3"/>
  <cols>
    <col min="3" max="3" width="14.21875" customWidth="1"/>
    <col min="4" max="4" width="14.33203125" customWidth="1"/>
    <col min="5" max="6" width="10.88671875" customWidth="1"/>
    <col min="8" max="8" width="16.109375" bestFit="1" customWidth="1"/>
    <col min="9" max="9" width="8" customWidth="1"/>
    <col min="11" max="11" width="22.6640625" bestFit="1" customWidth="1"/>
  </cols>
  <sheetData>
    <row r="2" spans="2:12" x14ac:dyDescent="0.3">
      <c r="B2" s="29" t="s">
        <v>1</v>
      </c>
      <c r="C2" s="4" t="s">
        <v>2</v>
      </c>
      <c r="D2" s="5" t="s">
        <v>3</v>
      </c>
      <c r="E2" t="s">
        <v>36</v>
      </c>
      <c r="F2" t="s">
        <v>16</v>
      </c>
      <c r="H2" s="40" t="s">
        <v>55</v>
      </c>
      <c r="I2" s="40"/>
      <c r="K2" s="41" t="s">
        <v>57</v>
      </c>
      <c r="L2" s="41"/>
    </row>
    <row r="3" spans="2:12" x14ac:dyDescent="0.3">
      <c r="B3" s="30">
        <v>45079</v>
      </c>
      <c r="C3" s="7">
        <v>58</v>
      </c>
      <c r="D3" s="8">
        <v>1861</v>
      </c>
      <c r="E3" s="34">
        <f>Intercept+Slope_Rainfall*Table1[[#This Row],[Rainfall (mm)]]</f>
        <v>2103.9428114166731</v>
      </c>
      <c r="F3" s="34">
        <f>Table1[[#This Row],[Quantity Sold]]-Table1[[#This Row],[Predicted]]</f>
        <v>-242.94281141667307</v>
      </c>
      <c r="H3" s="23" t="s">
        <v>18</v>
      </c>
      <c r="I3" s="39">
        <v>-630.334597791536</v>
      </c>
      <c r="K3" t="s">
        <v>45</v>
      </c>
      <c r="L3">
        <v>90</v>
      </c>
    </row>
    <row r="4" spans="2:12" x14ac:dyDescent="0.3">
      <c r="B4" s="31">
        <f>Intercept+Slope_Rainfall*B3</f>
        <v>2124516.0676383614</v>
      </c>
      <c r="C4" s="10">
        <v>49</v>
      </c>
      <c r="D4" s="11">
        <v>1745</v>
      </c>
      <c r="E4" s="34">
        <f>Intercept+Slope_Rainfall*Table1[[#This Row],[Rainfall (mm)]]</f>
        <v>1679.6583858498821</v>
      </c>
      <c r="F4" s="34">
        <f>Table1[[#This Row],[Quantity Sold]]-Table1[[#This Row],[Predicted]]</f>
        <v>65.341614150117948</v>
      </c>
      <c r="H4" t="s">
        <v>31</v>
      </c>
      <c r="I4" s="38">
        <v>47.142713951865673</v>
      </c>
      <c r="K4" t="s">
        <v>46</v>
      </c>
      <c r="L4" s="38">
        <f>Intercept + Slope_Rainfall * Forecast_Rain_mm_Jan25</f>
        <v>3612.5096578763741</v>
      </c>
    </row>
    <row r="5" spans="2:12" x14ac:dyDescent="0.3">
      <c r="B5" s="32">
        <f t="shared" ref="B5:B8" si="0">EDATE(B4,1)</f>
        <v>2124546</v>
      </c>
      <c r="C5" s="13">
        <v>62</v>
      </c>
      <c r="D5" s="14">
        <v>1977</v>
      </c>
      <c r="E5" s="34">
        <f>Intercept+Slope_Rainfall*Table1[[#This Row],[Rainfall (mm)]]</f>
        <v>2292.5136672241356</v>
      </c>
      <c r="F5" s="34">
        <f>Table1[[#This Row],[Quantity Sold]]-Table1[[#This Row],[Predicted]]</f>
        <v>-315.51366722413559</v>
      </c>
      <c r="H5" t="s">
        <v>35</v>
      </c>
      <c r="I5" s="39">
        <v>434.84788449658549</v>
      </c>
      <c r="K5" t="s">
        <v>47</v>
      </c>
      <c r="L5" s="38" cm="1">
        <f t="array" ref="L5">Demand_Forecast_Jan25 * LeadTime_months</f>
        <v>3612.5096578763741</v>
      </c>
    </row>
    <row r="6" spans="2:12" x14ac:dyDescent="0.3">
      <c r="B6" s="31">
        <f t="shared" si="0"/>
        <v>2124577</v>
      </c>
      <c r="C6" s="10">
        <v>100</v>
      </c>
      <c r="D6" s="11">
        <v>3908</v>
      </c>
      <c r="E6" s="34">
        <f>Intercept+Slope_Rainfall*Table1[[#This Row],[Rainfall (mm)]]</f>
        <v>4083.9367973950311</v>
      </c>
      <c r="F6" s="34">
        <f>Table1[[#This Row],[Quantity Sold]]-Table1[[#This Row],[Predicted]]</f>
        <v>-175.93679739503114</v>
      </c>
      <c r="H6" t="s">
        <v>33</v>
      </c>
      <c r="I6" s="38">
        <v>35.927109690000002</v>
      </c>
      <c r="K6" s="44" t="s">
        <v>48</v>
      </c>
      <c r="L6" s="45" cm="1">
        <f t="array" ref="L6">DLT_Jan25 + SafetyStock</f>
        <v>4440.9271608780728</v>
      </c>
    </row>
    <row r="7" spans="2:12" x14ac:dyDescent="0.3">
      <c r="B7" s="32">
        <f t="shared" si="0"/>
        <v>2124607</v>
      </c>
      <c r="C7" s="13">
        <v>110</v>
      </c>
      <c r="D7" s="14">
        <v>5325</v>
      </c>
      <c r="E7" s="34">
        <f>Intercept+Slope_Rainfall*Table1[[#This Row],[Rainfall (mm)]]</f>
        <v>4555.3639369136881</v>
      </c>
      <c r="F7" s="34">
        <f>Table1[[#This Row],[Quantity Sold]]-Table1[[#This Row],[Predicted]]</f>
        <v>769.63606308631188</v>
      </c>
      <c r="H7" t="s">
        <v>34</v>
      </c>
      <c r="I7" s="38">
        <v>58.35831821</v>
      </c>
    </row>
    <row r="8" spans="2:12" x14ac:dyDescent="0.3">
      <c r="B8" s="31">
        <f t="shared" si="0"/>
        <v>2124638</v>
      </c>
      <c r="C8" s="10">
        <v>102</v>
      </c>
      <c r="D8" s="11">
        <v>4098</v>
      </c>
      <c r="E8" s="34">
        <f>Intercept+Slope_Rainfall*Table1[[#This Row],[Rainfall (mm)]]</f>
        <v>4178.2222252987631</v>
      </c>
      <c r="F8" s="34">
        <f>Table1[[#This Row],[Quantity Sold]]-Table1[[#This Row],[Predicted]]</f>
        <v>-80.222225298763078</v>
      </c>
      <c r="H8" t="s">
        <v>32</v>
      </c>
      <c r="I8" s="38">
        <v>518.24342549999994</v>
      </c>
      <c r="K8" t="s">
        <v>49</v>
      </c>
      <c r="L8">
        <v>1800</v>
      </c>
    </row>
    <row r="9" spans="2:12" x14ac:dyDescent="0.3">
      <c r="B9" s="32">
        <f>EDATE(B8,1)</f>
        <v>2124669</v>
      </c>
      <c r="C9" s="13">
        <v>84</v>
      </c>
      <c r="D9" s="14">
        <v>2968</v>
      </c>
      <c r="E9" s="34">
        <f>Intercept+Slope_Rainfall*Table1[[#This Row],[Rainfall (mm)]]</f>
        <v>3329.6533741651806</v>
      </c>
      <c r="F9" s="34">
        <f>Table1[[#This Row],[Quantity Sold]]-Table1[[#This Row],[Predicted]]</f>
        <v>-361.65337416518059</v>
      </c>
      <c r="I9" s="38"/>
      <c r="K9" t="s">
        <v>50</v>
      </c>
      <c r="L9">
        <v>900</v>
      </c>
    </row>
    <row r="10" spans="2:12" x14ac:dyDescent="0.3">
      <c r="B10" s="31">
        <v>45293</v>
      </c>
      <c r="C10" s="10">
        <v>79</v>
      </c>
      <c r="D10" s="11">
        <v>2771</v>
      </c>
      <c r="E10" s="34">
        <f>Intercept+Slope_Rainfall*Table1[[#This Row],[Rainfall (mm)]]</f>
        <v>3093.9398044058521</v>
      </c>
      <c r="F10" s="34">
        <f>Table1[[#This Row],[Quantity Sold]]-Table1[[#This Row],[Predicted]]</f>
        <v>-322.9398044058521</v>
      </c>
      <c r="H10" t="s">
        <v>37</v>
      </c>
      <c r="I10" s="38">
        <f>AVERAGE(Table1[Residual])</f>
        <v>1.3163739104608172E-13</v>
      </c>
      <c r="K10" t="s">
        <v>51</v>
      </c>
      <c r="L10">
        <f>StockOnHand+OnOrder</f>
        <v>2700</v>
      </c>
    </row>
    <row r="11" spans="2:12" x14ac:dyDescent="0.3">
      <c r="B11" s="32">
        <v>45324</v>
      </c>
      <c r="C11" s="13">
        <v>76</v>
      </c>
      <c r="D11" s="14">
        <v>2097</v>
      </c>
      <c r="E11" s="34">
        <f>Intercept+Slope_Rainfall*Table1[[#This Row],[Rainfall (mm)]]</f>
        <v>2952.5116625502551</v>
      </c>
      <c r="F11" s="34">
        <f>Table1[[#This Row],[Quantity Sold]]-Table1[[#This Row],[Predicted]]</f>
        <v>-855.5116625502551</v>
      </c>
      <c r="H11" t="s">
        <v>38</v>
      </c>
      <c r="I11" s="38">
        <f>_xlfn.STDEV.S(Table1[Residual])</f>
        <v>503.6420806251715</v>
      </c>
      <c r="K11" t="s">
        <v>52</v>
      </c>
      <c r="L11" s="38" cm="1">
        <f t="array" ref="L11">MAX(0, ROP_Jan25 - InventoryPosition)</f>
        <v>1740.9271608780728</v>
      </c>
    </row>
    <row r="12" spans="2:12" x14ac:dyDescent="0.3">
      <c r="B12" s="31">
        <v>45353</v>
      </c>
      <c r="C12" s="10">
        <v>80</v>
      </c>
      <c r="D12" s="15">
        <v>2254</v>
      </c>
      <c r="E12" s="34">
        <f>Intercept+Slope_Rainfall*Table1[[#This Row],[Rainfall (mm)]]</f>
        <v>3141.0825183577181</v>
      </c>
      <c r="F12" s="34">
        <f>Table1[[#This Row],[Quantity Sold]]-Table1[[#This Row],[Predicted]]</f>
        <v>-887.08251835771807</v>
      </c>
      <c r="H12" s="42" t="s">
        <v>56</v>
      </c>
      <c r="I12" s="42"/>
      <c r="K12" t="s">
        <v>58</v>
      </c>
      <c r="L12" s="47" t="str">
        <f>IF(InventoryPosition&lt;ROP_Jan25,"ORDER","OK")</f>
        <v>ORDER</v>
      </c>
    </row>
    <row r="13" spans="2:12" x14ac:dyDescent="0.3">
      <c r="B13" s="32">
        <v>45384</v>
      </c>
      <c r="C13" s="13">
        <v>87</v>
      </c>
      <c r="D13" s="16">
        <v>2978</v>
      </c>
      <c r="E13" s="34">
        <f>Intercept+Slope_Rainfall*Table1[[#This Row],[Rainfall (mm)]]</f>
        <v>3471.0815160207776</v>
      </c>
      <c r="F13" s="34">
        <f>Table1[[#This Row],[Quantity Sold]]-Table1[[#This Row],[Predicted]]</f>
        <v>-493.0815160207776</v>
      </c>
      <c r="H13" t="s">
        <v>39</v>
      </c>
      <c r="I13" s="36">
        <v>0.95</v>
      </c>
      <c r="K13" t="s">
        <v>53</v>
      </c>
      <c r="L13">
        <v>200</v>
      </c>
    </row>
    <row r="14" spans="2:12" x14ac:dyDescent="0.3">
      <c r="B14" s="31">
        <v>45414</v>
      </c>
      <c r="C14" s="10">
        <v>60</v>
      </c>
      <c r="D14" s="15">
        <v>2514</v>
      </c>
      <c r="E14" s="34">
        <f>Intercept+Slope_Rainfall*Table1[[#This Row],[Rainfall (mm)]]</f>
        <v>2198.2282393204046</v>
      </c>
      <c r="F14" s="34">
        <f>Table1[[#This Row],[Quantity Sold]]-Table1[[#This Row],[Predicted]]</f>
        <v>315.77176067959545</v>
      </c>
      <c r="H14" t="s">
        <v>40</v>
      </c>
      <c r="I14" s="38">
        <v>30</v>
      </c>
      <c r="K14" s="46" t="s">
        <v>54</v>
      </c>
      <c r="L14" s="46">
        <f>_xlfn.CEILING.MATH(Order_Q_Jan25,MOQ)</f>
        <v>1800</v>
      </c>
    </row>
    <row r="15" spans="2:12" x14ac:dyDescent="0.3">
      <c r="B15" s="32">
        <v>45445</v>
      </c>
      <c r="C15" s="13">
        <v>54</v>
      </c>
      <c r="D15" s="16">
        <v>2205</v>
      </c>
      <c r="E15" s="34">
        <f>Intercept+Slope_Rainfall*Table1[[#This Row],[Rainfall (mm)]]</f>
        <v>1915.3719556092105</v>
      </c>
      <c r="F15" s="34">
        <f>Table1[[#This Row],[Quantity Sold]]-Table1[[#This Row],[Predicted]]</f>
        <v>289.62804439078946</v>
      </c>
      <c r="H15" t="s">
        <v>41</v>
      </c>
      <c r="I15" s="37">
        <f>LeadTime_days/30</f>
        <v>1</v>
      </c>
    </row>
    <row r="16" spans="2:12" x14ac:dyDescent="0.3">
      <c r="B16" s="31">
        <v>45475</v>
      </c>
      <c r="C16" s="10">
        <v>42</v>
      </c>
      <c r="D16" s="15">
        <v>1979</v>
      </c>
      <c r="E16" s="34">
        <f>Intercept+Slope_Rainfall*Table1[[#This Row],[Rainfall (mm)]]</f>
        <v>1349.6593881868223</v>
      </c>
      <c r="F16" s="34">
        <f>Table1[[#This Row],[Quantity Sold]]-Table1[[#This Row],[Predicted]]</f>
        <v>629.3406118131777</v>
      </c>
      <c r="H16" t="s">
        <v>42</v>
      </c>
      <c r="I16" s="35">
        <f>_xlfn.NORM.S.INV(ServiceLevel)</f>
        <v>1.6448536269514715</v>
      </c>
    </row>
    <row r="17" spans="2:9" x14ac:dyDescent="0.3">
      <c r="B17" s="32">
        <v>45506</v>
      </c>
      <c r="C17" s="13">
        <v>48</v>
      </c>
      <c r="D17" s="16">
        <v>2358</v>
      </c>
      <c r="E17" s="34">
        <f>Intercept+Slope_Rainfall*Table1[[#This Row],[Rainfall (mm)]]</f>
        <v>1632.5156718980161</v>
      </c>
      <c r="F17" s="34">
        <f>Table1[[#This Row],[Quantity Sold]]-Table1[[#This Row],[Predicted]]</f>
        <v>725.48432810198392</v>
      </c>
      <c r="H17" t="s">
        <v>43</v>
      </c>
      <c r="I17" s="38" cm="1">
        <f t="array" ref="I17">Sigma_Residual*SQRT(LeadTime_months)</f>
        <v>503.6420806251715</v>
      </c>
    </row>
    <row r="18" spans="2:9" x14ac:dyDescent="0.3">
      <c r="B18" s="31">
        <v>45537</v>
      </c>
      <c r="C18" s="10">
        <v>88</v>
      </c>
      <c r="D18" s="11">
        <v>3490</v>
      </c>
      <c r="E18" s="34">
        <f>Intercept+Slope_Rainfall*Table1[[#This Row],[Rainfall (mm)]]</f>
        <v>3518.2242299726431</v>
      </c>
      <c r="F18" s="34">
        <f>Table1[[#This Row],[Quantity Sold]]-Table1[[#This Row],[Predicted]]</f>
        <v>-28.224229972643116</v>
      </c>
      <c r="H18" t="s">
        <v>44</v>
      </c>
      <c r="I18" s="38" cm="1">
        <f t="array" ref="I18">z*Sigma_LT</f>
        <v>828.41750300169883</v>
      </c>
    </row>
    <row r="19" spans="2:9" x14ac:dyDescent="0.3">
      <c r="B19" s="32">
        <v>45567</v>
      </c>
      <c r="C19" s="13">
        <v>107</v>
      </c>
      <c r="D19" s="14">
        <v>4920</v>
      </c>
      <c r="E19" s="34">
        <f>Intercept+Slope_Rainfall*Table1[[#This Row],[Rainfall (mm)]]</f>
        <v>4413.9357950580907</v>
      </c>
      <c r="F19" s="34">
        <f>Table1[[#This Row],[Quantity Sold]]-Table1[[#This Row],[Predicted]]</f>
        <v>506.06420494190934</v>
      </c>
    </row>
    <row r="20" spans="2:9" x14ac:dyDescent="0.3">
      <c r="B20" s="31">
        <v>45598</v>
      </c>
      <c r="C20" s="10">
        <v>118</v>
      </c>
      <c r="D20" s="11">
        <v>5555</v>
      </c>
      <c r="E20" s="34">
        <f>Intercept+Slope_Rainfall*Table1[[#This Row],[Rainfall (mm)]]</f>
        <v>4932.5056485286132</v>
      </c>
      <c r="F20" s="34">
        <f>Table1[[#This Row],[Quantity Sold]]-Table1[[#This Row],[Predicted]]</f>
        <v>622.49435147138684</v>
      </c>
    </row>
    <row r="21" spans="2:9" x14ac:dyDescent="0.3">
      <c r="B21" s="33">
        <v>45628</v>
      </c>
      <c r="C21" s="18">
        <v>91</v>
      </c>
      <c r="D21" s="19">
        <v>3499</v>
      </c>
      <c r="E21" s="34">
        <f>Intercept+Slope_Rainfall*Table1[[#This Row],[Rainfall (mm)]]</f>
        <v>3659.6523718282406</v>
      </c>
      <c r="F21" s="34">
        <f>Table1[[#This Row],[Quantity Sold]]-Table1[[#This Row],[Predicted]]</f>
        <v>-160.65237182824058</v>
      </c>
    </row>
  </sheetData>
  <mergeCells count="3">
    <mergeCell ref="H2:I2"/>
    <mergeCell ref="H12:I12"/>
    <mergeCell ref="K2:L2"/>
  </mergeCells>
  <conditionalFormatting sqref="L12">
    <cfRule type="cellIs" dxfId="4" priority="1" operator="equal">
      <formula>"OK"</formula>
    </cfRule>
    <cfRule type="cellIs" dxfId="3" priority="2" operator="equal">
      <formula>"ORDER"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7FAE-DF01-41EA-9095-A93CBA6DEEF8}">
  <dimension ref="A1:I18"/>
  <sheetViews>
    <sheetView workbookViewId="0">
      <selection activeCell="B21" sqref="B21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5" max="5" width="13.6640625" customWidth="1"/>
    <col min="6" max="6" width="11.6640625" customWidth="1"/>
    <col min="7" max="7" width="11.109375" customWidth="1"/>
    <col min="8" max="8" width="12.6640625" bestFit="1" customWidth="1"/>
  </cols>
  <sheetData>
    <row r="1" spans="1:9" x14ac:dyDescent="0.3">
      <c r="A1" t="s">
        <v>7</v>
      </c>
    </row>
    <row r="2" spans="1:9" ht="15" thickBot="1" x14ac:dyDescent="0.35"/>
    <row r="3" spans="1:9" x14ac:dyDescent="0.3">
      <c r="A3" s="26" t="s">
        <v>8</v>
      </c>
      <c r="B3" s="26"/>
    </row>
    <row r="4" spans="1:9" x14ac:dyDescent="0.3">
      <c r="A4" s="23" t="s">
        <v>9</v>
      </c>
      <c r="B4" s="23">
        <v>0.90678551049657341</v>
      </c>
    </row>
    <row r="5" spans="1:9" x14ac:dyDescent="0.3">
      <c r="A5" s="48" t="s">
        <v>10</v>
      </c>
      <c r="B5" s="48">
        <v>0.82225996204653129</v>
      </c>
    </row>
    <row r="6" spans="1:9" x14ac:dyDescent="0.3">
      <c r="A6" s="23" t="s">
        <v>11</v>
      </c>
      <c r="B6" s="23">
        <v>0.81180466569632725</v>
      </c>
    </row>
    <row r="7" spans="1:9" x14ac:dyDescent="0.3">
      <c r="A7" s="49" t="s">
        <v>12</v>
      </c>
      <c r="B7" s="49">
        <v>518.24342547267759</v>
      </c>
    </row>
    <row r="8" spans="1:9" ht="15" thickBot="1" x14ac:dyDescent="0.35">
      <c r="A8" s="24" t="s">
        <v>13</v>
      </c>
      <c r="B8" s="24">
        <v>19</v>
      </c>
    </row>
    <row r="10" spans="1:9" ht="15" thickBot="1" x14ac:dyDescent="0.35">
      <c r="A10" t="s">
        <v>14</v>
      </c>
    </row>
    <row r="11" spans="1:9" x14ac:dyDescent="0.3">
      <c r="A11" s="25"/>
      <c r="B11" s="25" t="s">
        <v>19</v>
      </c>
      <c r="C11" s="25" t="s">
        <v>20</v>
      </c>
      <c r="D11" s="25" t="s">
        <v>21</v>
      </c>
      <c r="E11" s="25" t="s">
        <v>22</v>
      </c>
      <c r="F11" s="25" t="s">
        <v>23</v>
      </c>
    </row>
    <row r="12" spans="1:9" x14ac:dyDescent="0.3">
      <c r="A12" s="23" t="s">
        <v>15</v>
      </c>
      <c r="B12" s="23">
        <v>1</v>
      </c>
      <c r="C12" s="23">
        <v>21122260.730592296</v>
      </c>
      <c r="D12" s="23">
        <v>21122260.730592296</v>
      </c>
      <c r="E12" s="23">
        <v>78.645304207994471</v>
      </c>
      <c r="F12" s="48">
        <v>8.7333533134080359E-8</v>
      </c>
    </row>
    <row r="13" spans="1:9" x14ac:dyDescent="0.3">
      <c r="A13" s="23" t="s">
        <v>16</v>
      </c>
      <c r="B13" s="23">
        <v>17</v>
      </c>
      <c r="C13" s="23">
        <v>4565796.2167761307</v>
      </c>
      <c r="D13" s="23">
        <v>268576.24804565473</v>
      </c>
      <c r="E13" s="23"/>
      <c r="F13" s="23"/>
    </row>
    <row r="14" spans="1:9" ht="15" thickBot="1" x14ac:dyDescent="0.35">
      <c r="A14" s="24" t="s">
        <v>17</v>
      </c>
      <c r="B14" s="24">
        <v>18</v>
      </c>
      <c r="C14" s="24">
        <v>25688056.947368428</v>
      </c>
      <c r="D14" s="24"/>
      <c r="E14" s="24"/>
      <c r="F14" s="24"/>
    </row>
    <row r="15" spans="1:9" ht="15" thickBot="1" x14ac:dyDescent="0.35"/>
    <row r="16" spans="1:9" x14ac:dyDescent="0.3">
      <c r="A16" s="25"/>
      <c r="B16" s="25" t="s">
        <v>24</v>
      </c>
      <c r="C16" s="25" t="s">
        <v>12</v>
      </c>
      <c r="D16" s="25" t="s">
        <v>25</v>
      </c>
      <c r="E16" s="25" t="s">
        <v>26</v>
      </c>
      <c r="F16" s="25" t="s">
        <v>27</v>
      </c>
      <c r="G16" s="25" t="s">
        <v>28</v>
      </c>
      <c r="H16" s="25" t="s">
        <v>29</v>
      </c>
      <c r="I16" s="25" t="s">
        <v>30</v>
      </c>
    </row>
    <row r="17" spans="1:9" x14ac:dyDescent="0.3">
      <c r="A17" s="23" t="s">
        <v>18</v>
      </c>
      <c r="B17" s="23">
        <v>-630.334597791536</v>
      </c>
      <c r="C17" s="23">
        <v>434.84788449658549</v>
      </c>
      <c r="D17" s="23">
        <v>-1.4495519473925036</v>
      </c>
      <c r="E17" s="23">
        <v>0.16538115951494461</v>
      </c>
      <c r="F17" s="23">
        <v>-1547.7834384902949</v>
      </c>
      <c r="G17" s="23">
        <v>287.114242907223</v>
      </c>
      <c r="H17" s="23">
        <v>-1547.7834384902949</v>
      </c>
      <c r="I17" s="23">
        <v>287.114242907223</v>
      </c>
    </row>
    <row r="18" spans="1:9" ht="15" thickBot="1" x14ac:dyDescent="0.35">
      <c r="A18" s="24" t="s">
        <v>2</v>
      </c>
      <c r="B18" s="50">
        <v>47.142713951865673</v>
      </c>
      <c r="C18" s="24">
        <v>5.3159168890526933</v>
      </c>
      <c r="D18" s="24">
        <v>8.8682187731243101</v>
      </c>
      <c r="E18" s="24">
        <v>8.7333533134080835E-8</v>
      </c>
      <c r="F18" s="51">
        <v>35.927109688875078</v>
      </c>
      <c r="G18" s="51">
        <v>58.358318214856268</v>
      </c>
      <c r="H18" s="51">
        <v>35.927109688875078</v>
      </c>
      <c r="I18" s="51">
        <v>58.358318214856268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DBD7-AC63-4811-94FC-11E1CE0F6120}">
  <dimension ref="B1:D23"/>
  <sheetViews>
    <sheetView zoomScaleNormal="100" workbookViewId="0">
      <selection activeCell="H28" sqref="H28"/>
    </sheetView>
  </sheetViews>
  <sheetFormatPr defaultColWidth="8.77734375" defaultRowHeight="14.4" x14ac:dyDescent="0.3"/>
  <cols>
    <col min="1" max="1" width="2.6640625" customWidth="1"/>
    <col min="3" max="3" width="12.33203125" bestFit="1" customWidth="1"/>
    <col min="4" max="4" width="12.44140625" bestFit="1" customWidth="1"/>
  </cols>
  <sheetData>
    <row r="1" spans="2:4" ht="9" customHeight="1" x14ac:dyDescent="0.3"/>
    <row r="2" spans="2:4" ht="21" x14ac:dyDescent="0.4">
      <c r="B2" s="1" t="s">
        <v>0</v>
      </c>
      <c r="C2" s="2"/>
      <c r="D2" s="2"/>
    </row>
    <row r="3" spans="2:4" ht="6.45" customHeight="1" x14ac:dyDescent="0.3"/>
    <row r="4" spans="2:4" x14ac:dyDescent="0.3">
      <c r="B4" s="3" t="s">
        <v>1</v>
      </c>
      <c r="C4" s="4" t="s">
        <v>2</v>
      </c>
      <c r="D4" s="5" t="s">
        <v>3</v>
      </c>
    </row>
    <row r="5" spans="2:4" x14ac:dyDescent="0.3">
      <c r="B5" s="6">
        <v>45079</v>
      </c>
      <c r="C5" s="7">
        <v>58</v>
      </c>
      <c r="D5" s="8">
        <v>1861</v>
      </c>
    </row>
    <row r="6" spans="2:4" x14ac:dyDescent="0.3">
      <c r="B6" s="9">
        <f t="shared" ref="B6:B11" si="0">EDATE(B5,1)</f>
        <v>45109</v>
      </c>
      <c r="C6" s="10">
        <v>49</v>
      </c>
      <c r="D6" s="11">
        <v>1745</v>
      </c>
    </row>
    <row r="7" spans="2:4" x14ac:dyDescent="0.3">
      <c r="B7" s="12">
        <f t="shared" si="0"/>
        <v>45140</v>
      </c>
      <c r="C7" s="13">
        <v>62</v>
      </c>
      <c r="D7" s="14">
        <v>1977</v>
      </c>
    </row>
    <row r="8" spans="2:4" x14ac:dyDescent="0.3">
      <c r="B8" s="9">
        <f t="shared" si="0"/>
        <v>45171</v>
      </c>
      <c r="C8" s="10">
        <v>100</v>
      </c>
      <c r="D8" s="11">
        <v>3908</v>
      </c>
    </row>
    <row r="9" spans="2:4" x14ac:dyDescent="0.3">
      <c r="B9" s="12">
        <f t="shared" si="0"/>
        <v>45201</v>
      </c>
      <c r="C9" s="13">
        <v>110</v>
      </c>
      <c r="D9" s="14">
        <v>5325</v>
      </c>
    </row>
    <row r="10" spans="2:4" x14ac:dyDescent="0.3">
      <c r="B10" s="9">
        <f t="shared" si="0"/>
        <v>45232</v>
      </c>
      <c r="C10" s="10">
        <v>102</v>
      </c>
      <c r="D10" s="11">
        <v>4098</v>
      </c>
    </row>
    <row r="11" spans="2:4" x14ac:dyDescent="0.3">
      <c r="B11" s="12">
        <f t="shared" si="0"/>
        <v>45262</v>
      </c>
      <c r="C11" s="13">
        <v>84</v>
      </c>
      <c r="D11" s="14">
        <v>2968</v>
      </c>
    </row>
    <row r="12" spans="2:4" x14ac:dyDescent="0.3">
      <c r="B12" s="9">
        <v>45293</v>
      </c>
      <c r="C12" s="10">
        <v>79</v>
      </c>
      <c r="D12" s="11">
        <v>2771</v>
      </c>
    </row>
    <row r="13" spans="2:4" x14ac:dyDescent="0.3">
      <c r="B13" s="12">
        <v>45324</v>
      </c>
      <c r="C13" s="13">
        <v>76</v>
      </c>
      <c r="D13" s="14">
        <v>2097</v>
      </c>
    </row>
    <row r="14" spans="2:4" x14ac:dyDescent="0.3">
      <c r="B14" s="9">
        <v>45353</v>
      </c>
      <c r="C14" s="10">
        <v>80</v>
      </c>
      <c r="D14" s="15">
        <v>2254</v>
      </c>
    </row>
    <row r="15" spans="2:4" x14ac:dyDescent="0.3">
      <c r="B15" s="12">
        <v>45384</v>
      </c>
      <c r="C15" s="13">
        <v>87</v>
      </c>
      <c r="D15" s="16">
        <v>2978</v>
      </c>
    </row>
    <row r="16" spans="2:4" x14ac:dyDescent="0.3">
      <c r="B16" s="9">
        <v>45414</v>
      </c>
      <c r="C16" s="10">
        <v>60</v>
      </c>
      <c r="D16" s="15">
        <v>2514</v>
      </c>
    </row>
    <row r="17" spans="2:4" x14ac:dyDescent="0.3">
      <c r="B17" s="12">
        <v>45445</v>
      </c>
      <c r="C17" s="13">
        <v>54</v>
      </c>
      <c r="D17" s="16">
        <v>2205</v>
      </c>
    </row>
    <row r="18" spans="2:4" x14ac:dyDescent="0.3">
      <c r="B18" s="9">
        <v>45475</v>
      </c>
      <c r="C18" s="10">
        <v>42</v>
      </c>
      <c r="D18" s="15">
        <v>1979</v>
      </c>
    </row>
    <row r="19" spans="2:4" x14ac:dyDescent="0.3">
      <c r="B19" s="12">
        <v>45506</v>
      </c>
      <c r="C19" s="13">
        <v>48</v>
      </c>
      <c r="D19" s="16">
        <v>2358</v>
      </c>
    </row>
    <row r="20" spans="2:4" x14ac:dyDescent="0.3">
      <c r="B20" s="9">
        <v>45537</v>
      </c>
      <c r="C20" s="10">
        <v>88</v>
      </c>
      <c r="D20" s="11">
        <v>3490</v>
      </c>
    </row>
    <row r="21" spans="2:4" x14ac:dyDescent="0.3">
      <c r="B21" s="12">
        <v>45567</v>
      </c>
      <c r="C21" s="13">
        <v>107</v>
      </c>
      <c r="D21" s="14">
        <v>4920</v>
      </c>
    </row>
    <row r="22" spans="2:4" x14ac:dyDescent="0.3">
      <c r="B22" s="9">
        <v>45598</v>
      </c>
      <c r="C22" s="10">
        <v>118</v>
      </c>
      <c r="D22" s="11">
        <v>5555</v>
      </c>
    </row>
    <row r="23" spans="2:4" x14ac:dyDescent="0.3">
      <c r="B23" s="17">
        <v>45628</v>
      </c>
      <c r="C23" s="18">
        <v>91</v>
      </c>
      <c r="D23" s="19">
        <v>3499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041C-33E3-491A-A64F-D5C527A38CE1}">
  <dimension ref="B1:L23"/>
  <sheetViews>
    <sheetView zoomScaleNormal="100" workbookViewId="0">
      <selection activeCell="K20" sqref="K20"/>
    </sheetView>
  </sheetViews>
  <sheetFormatPr defaultColWidth="8.77734375" defaultRowHeight="14.4" x14ac:dyDescent="0.3"/>
  <cols>
    <col min="1" max="1" width="2.44140625" customWidth="1"/>
    <col min="2" max="2" width="13.77734375" customWidth="1"/>
    <col min="3" max="3" width="16.21875" customWidth="1"/>
    <col min="4" max="4" width="17.109375" customWidth="1"/>
    <col min="5" max="5" width="17.88671875" customWidth="1"/>
    <col min="6" max="6" width="13.77734375" customWidth="1"/>
    <col min="8" max="8" width="23.6640625" bestFit="1" customWidth="1"/>
    <col min="9" max="9" width="9.44140625" bestFit="1" customWidth="1"/>
    <col min="11" max="11" width="21" bestFit="1" customWidth="1"/>
    <col min="12" max="12" width="9.44140625" bestFit="1" customWidth="1"/>
  </cols>
  <sheetData>
    <row r="1" spans="2:12" ht="7.8" customHeight="1" x14ac:dyDescent="0.3"/>
    <row r="2" spans="2:12" ht="21" x14ac:dyDescent="0.4">
      <c r="B2" s="1" t="s">
        <v>0</v>
      </c>
      <c r="C2" s="2"/>
      <c r="D2" s="2"/>
      <c r="E2" s="2"/>
      <c r="F2" s="2"/>
    </row>
    <row r="3" spans="2:12" ht="7.8" customHeight="1" x14ac:dyDescent="0.3"/>
    <row r="4" spans="2:12" ht="27.6" customHeight="1" x14ac:dyDescent="0.3">
      <c r="B4" s="52" t="s">
        <v>1</v>
      </c>
      <c r="C4" s="53" t="s">
        <v>4</v>
      </c>
      <c r="D4" s="53" t="s">
        <v>5</v>
      </c>
      <c r="E4" s="53" t="s">
        <v>6</v>
      </c>
      <c r="F4" s="54" t="s">
        <v>3</v>
      </c>
    </row>
    <row r="5" spans="2:12" x14ac:dyDescent="0.3">
      <c r="B5" s="30">
        <v>45079</v>
      </c>
      <c r="C5" s="7">
        <v>58</v>
      </c>
      <c r="D5" s="20">
        <v>26</v>
      </c>
      <c r="E5" s="20">
        <v>14</v>
      </c>
      <c r="F5" s="20">
        <v>1861</v>
      </c>
      <c r="H5" s="40" t="s">
        <v>55</v>
      </c>
      <c r="I5" s="40"/>
      <c r="K5" s="41" t="s">
        <v>76</v>
      </c>
      <c r="L5" s="41"/>
    </row>
    <row r="6" spans="2:12" x14ac:dyDescent="0.3">
      <c r="B6" s="31">
        <f t="shared" ref="B6:B11" si="0">EDATE(B5,1)</f>
        <v>45109</v>
      </c>
      <c r="C6" s="10">
        <v>49</v>
      </c>
      <c r="D6" s="21">
        <v>28</v>
      </c>
      <c r="E6" s="21">
        <v>12</v>
      </c>
      <c r="F6" s="21">
        <v>1745</v>
      </c>
      <c r="H6" t="s">
        <v>65</v>
      </c>
      <c r="I6">
        <v>-2971.6840000000002</v>
      </c>
      <c r="K6" t="s">
        <v>64</v>
      </c>
      <c r="L6" s="38">
        <f>Demand_Forecast_Jan25W*LeadTime_months</f>
        <v>3155.5987317399995</v>
      </c>
    </row>
    <row r="7" spans="2:12" x14ac:dyDescent="0.3">
      <c r="B7" s="32">
        <f t="shared" si="0"/>
        <v>45140</v>
      </c>
      <c r="C7" s="13">
        <v>62</v>
      </c>
      <c r="D7" s="22">
        <v>29</v>
      </c>
      <c r="E7" s="22">
        <v>12</v>
      </c>
      <c r="F7" s="22">
        <v>1977</v>
      </c>
      <c r="H7" t="s">
        <v>59</v>
      </c>
      <c r="I7">
        <v>58.403072969999997</v>
      </c>
      <c r="K7" t="s">
        <v>66</v>
      </c>
      <c r="L7" s="38">
        <f>DLT_Jan25W+SafetyStock_Jan25W</f>
        <v>3823.5737896449918</v>
      </c>
    </row>
    <row r="8" spans="2:12" x14ac:dyDescent="0.3">
      <c r="B8" s="31">
        <f t="shared" si="0"/>
        <v>45171</v>
      </c>
      <c r="C8" s="10">
        <v>100</v>
      </c>
      <c r="D8" s="21">
        <v>18</v>
      </c>
      <c r="E8" s="21">
        <v>14</v>
      </c>
      <c r="F8" s="21">
        <v>3908</v>
      </c>
      <c r="H8" t="s">
        <v>60</v>
      </c>
      <c r="I8">
        <v>55.764668980000003</v>
      </c>
    </row>
    <row r="9" spans="2:12" x14ac:dyDescent="0.3">
      <c r="B9" s="32">
        <f t="shared" si="0"/>
        <v>45201</v>
      </c>
      <c r="C9" s="13">
        <v>110</v>
      </c>
      <c r="D9" s="22">
        <v>14</v>
      </c>
      <c r="E9" s="22">
        <v>15</v>
      </c>
      <c r="F9" s="22">
        <v>5325</v>
      </c>
      <c r="H9" t="s">
        <v>61</v>
      </c>
      <c r="I9">
        <v>32.899045530000002</v>
      </c>
      <c r="K9" t="s">
        <v>68</v>
      </c>
      <c r="L9">
        <v>2100</v>
      </c>
    </row>
    <row r="10" spans="2:12" x14ac:dyDescent="0.3">
      <c r="B10" s="31">
        <f t="shared" si="0"/>
        <v>45232</v>
      </c>
      <c r="C10" s="10">
        <v>102</v>
      </c>
      <c r="D10" s="21">
        <v>13</v>
      </c>
      <c r="E10" s="21">
        <v>17</v>
      </c>
      <c r="F10" s="21">
        <v>4098</v>
      </c>
      <c r="H10" t="s">
        <v>38</v>
      </c>
      <c r="I10">
        <v>406.1</v>
      </c>
      <c r="K10" t="s">
        <v>69</v>
      </c>
      <c r="L10">
        <v>700</v>
      </c>
    </row>
    <row r="11" spans="2:12" x14ac:dyDescent="0.3">
      <c r="B11" s="32">
        <f t="shared" si="0"/>
        <v>45262</v>
      </c>
      <c r="C11" s="13">
        <v>84</v>
      </c>
      <c r="D11" s="22">
        <v>10</v>
      </c>
      <c r="E11" s="22">
        <v>18</v>
      </c>
      <c r="F11" s="22">
        <v>2968</v>
      </c>
      <c r="K11" t="s">
        <v>70</v>
      </c>
      <c r="L11">
        <v>200</v>
      </c>
    </row>
    <row r="12" spans="2:12" x14ac:dyDescent="0.3">
      <c r="B12" s="31">
        <v>45293</v>
      </c>
      <c r="C12" s="10">
        <v>79</v>
      </c>
      <c r="D12" s="21">
        <v>4</v>
      </c>
      <c r="E12" s="21">
        <v>19</v>
      </c>
      <c r="F12" s="21">
        <v>2771</v>
      </c>
      <c r="H12" s="55" t="s">
        <v>75</v>
      </c>
      <c r="I12" s="55"/>
      <c r="K12" t="s">
        <v>71</v>
      </c>
      <c r="L12">
        <f>StockOnHandW + OnOrderW</f>
        <v>2800</v>
      </c>
    </row>
    <row r="13" spans="2:12" x14ac:dyDescent="0.3">
      <c r="B13" s="32">
        <v>45324</v>
      </c>
      <c r="C13" s="13">
        <v>76</v>
      </c>
      <c r="D13" s="22">
        <v>3</v>
      </c>
      <c r="E13" s="22">
        <v>17</v>
      </c>
      <c r="F13" s="22">
        <v>2097</v>
      </c>
      <c r="H13" t="s">
        <v>45</v>
      </c>
      <c r="I13">
        <v>90</v>
      </c>
      <c r="K13" t="s">
        <v>72</v>
      </c>
      <c r="L13" s="38">
        <f xml:space="preserve"> MAX(0, ROP_Jan25W - InventoryPositionW)</f>
        <v>1023.5737896449918</v>
      </c>
    </row>
    <row r="14" spans="2:12" x14ac:dyDescent="0.3">
      <c r="B14" s="31">
        <v>45353</v>
      </c>
      <c r="C14" s="10">
        <v>80</v>
      </c>
      <c r="D14" s="21">
        <v>6</v>
      </c>
      <c r="E14" s="21">
        <v>17</v>
      </c>
      <c r="F14" s="21">
        <v>2254</v>
      </c>
      <c r="H14" t="s">
        <v>62</v>
      </c>
      <c r="I14">
        <v>5</v>
      </c>
      <c r="K14" t="s">
        <v>73</v>
      </c>
      <c r="L14" s="43" cm="1">
        <f t="array" ref="L14">_xlfn.CEILING.MATH(Order_Q_Jan25W, MOQW)</f>
        <v>1200</v>
      </c>
    </row>
    <row r="15" spans="2:12" x14ac:dyDescent="0.3">
      <c r="B15" s="32">
        <v>45384</v>
      </c>
      <c r="C15" s="13">
        <v>87</v>
      </c>
      <c r="D15" s="22">
        <v>12</v>
      </c>
      <c r="E15" s="22">
        <v>18</v>
      </c>
      <c r="F15" s="22">
        <v>2978</v>
      </c>
      <c r="H15" t="s">
        <v>63</v>
      </c>
      <c r="I15">
        <v>18</v>
      </c>
      <c r="K15" t="s">
        <v>74</v>
      </c>
      <c r="L15" s="47" t="str">
        <f>IF(InventoryPositionW&lt;ROP_Jan25W,"ORDER","OK")</f>
        <v>ORDER</v>
      </c>
    </row>
    <row r="16" spans="2:12" x14ac:dyDescent="0.3">
      <c r="B16" s="31">
        <v>45414</v>
      </c>
      <c r="C16" s="10">
        <v>60</v>
      </c>
      <c r="D16" s="21">
        <v>18</v>
      </c>
      <c r="E16" s="21">
        <v>14</v>
      </c>
      <c r="F16" s="21">
        <v>2514</v>
      </c>
    </row>
    <row r="17" spans="2:9" x14ac:dyDescent="0.3">
      <c r="B17" s="32">
        <v>45445</v>
      </c>
      <c r="C17" s="13">
        <v>54</v>
      </c>
      <c r="D17" s="22">
        <v>26</v>
      </c>
      <c r="E17" s="22">
        <v>13</v>
      </c>
      <c r="F17" s="22">
        <v>2205</v>
      </c>
      <c r="H17" t="s">
        <v>46</v>
      </c>
      <c r="I17" s="38">
        <f>Intercept2
+ b_Rainfall*Forecast_Rain_mm_Jan252
+ b_Temperature*Forecast_Temp_C_Jan25
+ b_Wind*Forecast_Wind_kmh_Jan25</f>
        <v>3155.5987317399995</v>
      </c>
    </row>
    <row r="18" spans="2:9" x14ac:dyDescent="0.3">
      <c r="B18" s="31">
        <v>45475</v>
      </c>
      <c r="C18" s="10">
        <v>42</v>
      </c>
      <c r="D18" s="21">
        <v>30</v>
      </c>
      <c r="E18" s="21">
        <v>13</v>
      </c>
      <c r="F18" s="21">
        <v>1979</v>
      </c>
    </row>
    <row r="19" spans="2:9" x14ac:dyDescent="0.3">
      <c r="B19" s="32">
        <v>45506</v>
      </c>
      <c r="C19" s="13">
        <v>48</v>
      </c>
      <c r="D19" s="22">
        <v>31</v>
      </c>
      <c r="E19" s="22">
        <v>10</v>
      </c>
      <c r="F19" s="22">
        <v>2358</v>
      </c>
      <c r="H19" t="s">
        <v>67</v>
      </c>
      <c r="I19" s="38">
        <f>_xlfn.NORM.S.INV(ServiceLevel)*Sigma_ResidualW*LeadTime_months</f>
        <v>667.97505790499258</v>
      </c>
    </row>
    <row r="20" spans="2:9" x14ac:dyDescent="0.3">
      <c r="B20" s="31">
        <v>45537</v>
      </c>
      <c r="C20" s="10">
        <v>88</v>
      </c>
      <c r="D20" s="21">
        <v>19</v>
      </c>
      <c r="E20" s="21">
        <v>14</v>
      </c>
      <c r="F20" s="21">
        <v>3490</v>
      </c>
    </row>
    <row r="21" spans="2:9" x14ac:dyDescent="0.3">
      <c r="B21" s="32">
        <v>45567</v>
      </c>
      <c r="C21" s="13">
        <v>107</v>
      </c>
      <c r="D21" s="22">
        <v>15</v>
      </c>
      <c r="E21" s="22">
        <v>18</v>
      </c>
      <c r="F21" s="22">
        <v>4920</v>
      </c>
    </row>
    <row r="22" spans="2:9" x14ac:dyDescent="0.3">
      <c r="B22" s="31">
        <v>45598</v>
      </c>
      <c r="C22" s="10">
        <v>118</v>
      </c>
      <c r="D22" s="21">
        <v>13</v>
      </c>
      <c r="E22" s="21">
        <v>19</v>
      </c>
      <c r="F22" s="21">
        <v>5555</v>
      </c>
    </row>
    <row r="23" spans="2:9" x14ac:dyDescent="0.3">
      <c r="B23" s="32">
        <v>45628</v>
      </c>
      <c r="C23" s="13">
        <v>91</v>
      </c>
      <c r="D23" s="22">
        <v>8</v>
      </c>
      <c r="E23" s="22">
        <v>19</v>
      </c>
      <c r="F23" s="22">
        <v>3499</v>
      </c>
    </row>
  </sheetData>
  <mergeCells count="3">
    <mergeCell ref="H5:I5"/>
    <mergeCell ref="H12:I12"/>
    <mergeCell ref="K5:L5"/>
  </mergeCells>
  <conditionalFormatting sqref="L15">
    <cfRule type="cellIs" dxfId="2" priority="2" operator="equal">
      <formula>"OK"</formula>
    </cfRule>
    <cfRule type="cellIs" dxfId="1" priority="3" operator="equal">
      <formula>"ORDER"</formula>
    </cfRule>
  </conditionalFormatting>
  <conditionalFormatting sqref="L14">
    <cfRule type="expression" dxfId="0" priority="1">
      <formula>Reorder_FlagW="ORDER"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82B0-D304-4940-B656-B9EA62BC64DD}">
  <dimension ref="A1:I20"/>
  <sheetViews>
    <sheetView workbookViewId="0">
      <selection activeCell="L18" sqref="L18"/>
    </sheetView>
  </sheetViews>
  <sheetFormatPr defaultRowHeight="14.4" x14ac:dyDescent="0.3"/>
  <cols>
    <col min="1" max="1" width="13.21875" customWidth="1"/>
    <col min="2" max="9" width="14.21875" customWidth="1"/>
  </cols>
  <sheetData>
    <row r="1" spans="1:9" x14ac:dyDescent="0.3">
      <c r="A1" t="s">
        <v>7</v>
      </c>
    </row>
    <row r="2" spans="1:9" ht="15" thickBot="1" x14ac:dyDescent="0.35"/>
    <row r="3" spans="1:9" x14ac:dyDescent="0.3">
      <c r="A3" s="26" t="s">
        <v>8</v>
      </c>
      <c r="B3" s="26"/>
    </row>
    <row r="4" spans="1:9" x14ac:dyDescent="0.3">
      <c r="A4" s="23" t="s">
        <v>9</v>
      </c>
      <c r="B4" s="23">
        <v>0.95063219649745967</v>
      </c>
    </row>
    <row r="5" spans="1:9" x14ac:dyDescent="0.3">
      <c r="A5" s="56" t="s">
        <v>10</v>
      </c>
      <c r="B5" s="56">
        <v>0.90370157301758469</v>
      </c>
    </row>
    <row r="6" spans="1:9" x14ac:dyDescent="0.3">
      <c r="A6" s="56" t="s">
        <v>11</v>
      </c>
      <c r="B6" s="56">
        <v>0.88444188762110154</v>
      </c>
    </row>
    <row r="7" spans="1:9" x14ac:dyDescent="0.3">
      <c r="A7" s="56" t="s">
        <v>12</v>
      </c>
      <c r="B7" s="56">
        <v>406.09682558607335</v>
      </c>
    </row>
    <row r="8" spans="1:9" ht="15" thickBot="1" x14ac:dyDescent="0.35">
      <c r="A8" s="24" t="s">
        <v>13</v>
      </c>
      <c r="B8" s="24">
        <v>19</v>
      </c>
    </row>
    <row r="10" spans="1:9" ht="15" thickBot="1" x14ac:dyDescent="0.35">
      <c r="A10" t="s">
        <v>14</v>
      </c>
    </row>
    <row r="11" spans="1:9" x14ac:dyDescent="0.3">
      <c r="A11" s="25"/>
      <c r="B11" s="25" t="s">
        <v>19</v>
      </c>
      <c r="C11" s="25" t="s">
        <v>20</v>
      </c>
      <c r="D11" s="25" t="s">
        <v>21</v>
      </c>
      <c r="E11" s="25" t="s">
        <v>22</v>
      </c>
      <c r="F11" s="57" t="s">
        <v>23</v>
      </c>
    </row>
    <row r="12" spans="1:9" x14ac:dyDescent="0.3">
      <c r="A12" s="23" t="s">
        <v>15</v>
      </c>
      <c r="B12" s="23">
        <v>3</v>
      </c>
      <c r="C12" s="23">
        <v>23214337.471102141</v>
      </c>
      <c r="D12" s="23">
        <v>7738112.49036738</v>
      </c>
      <c r="E12" s="23">
        <v>46.921928080019732</v>
      </c>
      <c r="F12" s="58">
        <v>7.3898698560134625E-8</v>
      </c>
    </row>
    <row r="13" spans="1:9" x14ac:dyDescent="0.3">
      <c r="A13" s="23" t="s">
        <v>16</v>
      </c>
      <c r="B13" s="23">
        <v>15</v>
      </c>
      <c r="C13" s="23">
        <v>2473719.4762662849</v>
      </c>
      <c r="D13" s="23">
        <v>164914.63175108566</v>
      </c>
      <c r="E13" s="23"/>
      <c r="F13" s="23"/>
    </row>
    <row r="14" spans="1:9" ht="15" thickBot="1" x14ac:dyDescent="0.35">
      <c r="A14" s="24" t="s">
        <v>17</v>
      </c>
      <c r="B14" s="24">
        <v>18</v>
      </c>
      <c r="C14" s="24">
        <v>25688056.947368424</v>
      </c>
      <c r="D14" s="24"/>
      <c r="E14" s="24"/>
      <c r="F14" s="24"/>
    </row>
    <row r="15" spans="1:9" ht="15" thickBot="1" x14ac:dyDescent="0.35"/>
    <row r="16" spans="1:9" x14ac:dyDescent="0.3">
      <c r="A16" s="25"/>
      <c r="B16" s="25" t="s">
        <v>24</v>
      </c>
      <c r="C16" s="25" t="s">
        <v>12</v>
      </c>
      <c r="D16" s="25" t="s">
        <v>25</v>
      </c>
      <c r="E16" s="25" t="s">
        <v>26</v>
      </c>
      <c r="F16" s="25" t="s">
        <v>27</v>
      </c>
      <c r="G16" s="25" t="s">
        <v>28</v>
      </c>
      <c r="H16" s="25" t="s">
        <v>29</v>
      </c>
      <c r="I16" s="25" t="s">
        <v>30</v>
      </c>
    </row>
    <row r="17" spans="1:9" x14ac:dyDescent="0.3">
      <c r="A17" s="23" t="s">
        <v>18</v>
      </c>
      <c r="B17" s="23">
        <v>-2971.6843429306405</v>
      </c>
      <c r="C17" s="23">
        <v>1477.4442521948238</v>
      </c>
      <c r="D17" s="23">
        <v>-2.0113681707557101</v>
      </c>
      <c r="E17" s="23">
        <v>6.2611659249770704E-2</v>
      </c>
      <c r="F17" s="23">
        <v>-6120.7822228611985</v>
      </c>
      <c r="G17" s="23">
        <v>177.41353699991714</v>
      </c>
      <c r="H17" s="23">
        <v>-6120.7822228611985</v>
      </c>
      <c r="I17" s="23">
        <v>177.41353699991714</v>
      </c>
    </row>
    <row r="18" spans="1:9" ht="28.8" x14ac:dyDescent="0.3">
      <c r="A18" s="27" t="s">
        <v>4</v>
      </c>
      <c r="B18" s="23">
        <v>58.403072973138585</v>
      </c>
      <c r="C18" s="23">
        <v>5.8307018167144955</v>
      </c>
      <c r="D18" s="23">
        <v>10.016473969860417</v>
      </c>
      <c r="E18" s="23">
        <v>4.8898233599040947E-8</v>
      </c>
      <c r="F18" s="23">
        <v>45.97522623560792</v>
      </c>
      <c r="G18" s="23">
        <v>70.830919710669249</v>
      </c>
      <c r="H18" s="23">
        <v>45.97522623560792</v>
      </c>
      <c r="I18" s="23">
        <v>70.830919710669249</v>
      </c>
    </row>
    <row r="19" spans="1:9" ht="43.2" x14ac:dyDescent="0.3">
      <c r="A19" s="27" t="s">
        <v>5</v>
      </c>
      <c r="B19" s="23">
        <v>55.764668978670684</v>
      </c>
      <c r="C19" s="23">
        <v>22.403492381472105</v>
      </c>
      <c r="D19" s="23">
        <v>2.4891060745863256</v>
      </c>
      <c r="E19" s="23">
        <v>2.5038166340761947E-2</v>
      </c>
      <c r="F19" s="23">
        <v>8.0127553232301025</v>
      </c>
      <c r="G19" s="23">
        <v>103.51658263411127</v>
      </c>
      <c r="H19" s="23">
        <v>8.0127553232301025</v>
      </c>
      <c r="I19" s="23">
        <v>103.51658263411127</v>
      </c>
    </row>
    <row r="20" spans="1:9" ht="43.8" thickBot="1" x14ac:dyDescent="0.35">
      <c r="A20" s="28" t="s">
        <v>6</v>
      </c>
      <c r="B20" s="24">
        <v>32.899045531499517</v>
      </c>
      <c r="C20" s="24">
        <v>78.942095713277681</v>
      </c>
      <c r="D20" s="24">
        <v>0.41674907708291375</v>
      </c>
      <c r="E20" s="24">
        <v>0.68276456370561056</v>
      </c>
      <c r="F20" s="24">
        <v>-135.3620485021024</v>
      </c>
      <c r="G20" s="24">
        <v>201.16013956510145</v>
      </c>
      <c r="H20" s="24">
        <v>-135.3620485021024</v>
      </c>
      <c r="I20" s="24">
        <v>201.16013956510145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41</vt:i4>
      </vt:variant>
    </vt:vector>
  </HeadingPairs>
  <TitlesOfParts>
    <vt:vector size="46" baseType="lpstr">
      <vt:lpstr>Procurement_Plan</vt:lpstr>
      <vt:lpstr>Regression_Output</vt:lpstr>
      <vt:lpstr>Data</vt:lpstr>
      <vt:lpstr>Procurement_Plan_Weather</vt:lpstr>
      <vt:lpstr>Regression_Output_Weather</vt:lpstr>
      <vt:lpstr>b_Rainfall</vt:lpstr>
      <vt:lpstr>b_Temperature</vt:lpstr>
      <vt:lpstr>b_Wind</vt:lpstr>
      <vt:lpstr>Demand_Forecast_Jan25</vt:lpstr>
      <vt:lpstr>Demand_Forecast_Jan25W</vt:lpstr>
      <vt:lpstr>DLT_Jan25</vt:lpstr>
      <vt:lpstr>DLT_Jan25W</vt:lpstr>
      <vt:lpstr>Forecast_Rain_mm_Jan25</vt:lpstr>
      <vt:lpstr>Forecast_Rain_mm_Jan252</vt:lpstr>
      <vt:lpstr>Forecast_Temp_C_Jan25</vt:lpstr>
      <vt:lpstr>Forecast_Wind_kmh_Jan25</vt:lpstr>
      <vt:lpstr>Intercept</vt:lpstr>
      <vt:lpstr>Intercept2</vt:lpstr>
      <vt:lpstr>InterceptW</vt:lpstr>
      <vt:lpstr>InventoryPosition</vt:lpstr>
      <vt:lpstr>InventoryPositionW</vt:lpstr>
      <vt:lpstr>LeadTime_days</vt:lpstr>
      <vt:lpstr>LeadTime_months</vt:lpstr>
      <vt:lpstr>MOQ</vt:lpstr>
      <vt:lpstr>MOQW</vt:lpstr>
      <vt:lpstr>OnOrder</vt:lpstr>
      <vt:lpstr>OnOrderW</vt:lpstr>
      <vt:lpstr>Order_Q_Jan25</vt:lpstr>
      <vt:lpstr>Order_Q_Jan25W</vt:lpstr>
      <vt:lpstr>Order_Q_MOQ_Jan25</vt:lpstr>
      <vt:lpstr>Order_Q_MOQ_Jan25W</vt:lpstr>
      <vt:lpstr>Reorder_FlagW</vt:lpstr>
      <vt:lpstr>ROP_Jan25</vt:lpstr>
      <vt:lpstr>ROP_Jan25W</vt:lpstr>
      <vt:lpstr>SafetyStock</vt:lpstr>
      <vt:lpstr>SafetyStock_Jan25</vt:lpstr>
      <vt:lpstr>SafetyStock_Jan25W</vt:lpstr>
      <vt:lpstr>ServiceLevel</vt:lpstr>
      <vt:lpstr>Sigma_LT</vt:lpstr>
      <vt:lpstr>Sigma_Residual</vt:lpstr>
      <vt:lpstr>Sigma_ResidualW</vt:lpstr>
      <vt:lpstr>Slope_Rainfall</vt:lpstr>
      <vt:lpstr>StdError</vt:lpstr>
      <vt:lpstr>StockOnHand</vt:lpstr>
      <vt:lpstr>StockOnHandW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Marcin Banach</cp:lastModifiedBy>
  <dcterms:created xsi:type="dcterms:W3CDTF">2024-10-28T11:39:51Z</dcterms:created>
  <dcterms:modified xsi:type="dcterms:W3CDTF">2026-01-19T11:46:16Z</dcterms:modified>
</cp:coreProperties>
</file>